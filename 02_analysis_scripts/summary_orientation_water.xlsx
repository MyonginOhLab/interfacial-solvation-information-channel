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ne_\Downloads\H2O\analysis\"/>
    </mc:Choice>
  </mc:AlternateContent>
  <xr:revisionPtr revIDLastSave="0" documentId="13_ncr:1_{E5E45ADE-B228-4613-B729-65C71B025866}" xr6:coauthVersionLast="47" xr6:coauthVersionMax="47" xr10:uidLastSave="{00000000-0000-0000-0000-000000000000}"/>
  <bookViews>
    <workbookView xWindow="-108" yWindow="-108" windowWidth="23256" windowHeight="13176" xr2:uid="{75149B19-2591-4262-A4BE-EF51A1B89614}"/>
  </bookViews>
  <sheets>
    <sheet name="ori_dist_bac_err_m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L4" i="1"/>
  <c r="L3" i="1"/>
  <c r="Q5" i="1" s="1"/>
  <c r="L2" i="1"/>
  <c r="K5" i="1"/>
  <c r="P6" i="1" s="1"/>
  <c r="K4" i="1"/>
  <c r="K3" i="1"/>
  <c r="P5" i="1" s="1"/>
  <c r="K2" i="1"/>
  <c r="J5" i="1"/>
  <c r="O6" i="1" s="1"/>
  <c r="J4" i="1"/>
  <c r="J3" i="1"/>
  <c r="J2" i="1"/>
  <c r="O3" i="1" l="1"/>
  <c r="O4" i="1" s="1"/>
  <c r="Q3" i="1"/>
  <c r="Q4" i="1" s="1"/>
  <c r="O5" i="1"/>
  <c r="P3" i="1"/>
  <c r="P4" i="1" s="1"/>
  <c r="Q6" i="1"/>
  <c r="P7" i="1"/>
  <c r="O7" i="1" l="1"/>
  <c r="Q7" i="1"/>
</calcChain>
</file>

<file path=xl/sharedStrings.xml><?xml version="1.0" encoding="utf-8"?>
<sst xmlns="http://schemas.openxmlformats.org/spreadsheetml/2006/main" count="23" uniqueCount="20">
  <si>
    <t>cosTheta</t>
  </si>
  <si>
    <t>neg020</t>
  </si>
  <si>
    <t>neg010</t>
  </si>
  <si>
    <t>neg005</t>
  </si>
  <si>
    <t>pos005</t>
  </si>
  <si>
    <t>pos010</t>
  </si>
  <si>
    <t>1-alpha</t>
  </si>
  <si>
    <t>1-beta</t>
  </si>
  <si>
    <t>alpha (err)</t>
  </si>
  <si>
    <t>beta (err)</t>
  </si>
  <si>
    <t>negpos005</t>
  </si>
  <si>
    <t>negpos010</t>
  </si>
  <si>
    <t>negpos020</t>
  </si>
  <si>
    <t>pos020</t>
  </si>
  <si>
    <t>r</t>
  </si>
  <si>
    <t>Hb(r)</t>
  </si>
  <si>
    <t>pi</t>
  </si>
  <si>
    <t>Hb(alpha)</t>
  </si>
  <si>
    <t>Hb(beta)</t>
  </si>
  <si>
    <t>I(Y;S)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</si>
</sst>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AAA8-7DE8-497F-8028-82BA5A98C8B4}">
  <dimension ref="A1:Q41"/>
  <sheetViews>
    <sheetView tabSelected="1" workbookViewId="0">
      <selection activeCell="K16" sqref="K16"/>
    </sheetView>
  </sheetViews>
  <sheetFormatPr defaultRowHeight="14.4" x14ac:dyDescent="0.3"/>
  <cols>
    <col min="10" max="10" width="14.6640625" customWidth="1"/>
    <col min="11" max="11" width="11.88671875" customWidth="1"/>
    <col min="12" max="12" width="16.88671875" customWidth="1"/>
    <col min="14" max="14" width="11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J1" t="s">
        <v>10</v>
      </c>
      <c r="K1" t="s">
        <v>11</v>
      </c>
      <c r="L1" t="s">
        <v>12</v>
      </c>
      <c r="O1" t="s">
        <v>10</v>
      </c>
      <c r="P1" t="s">
        <v>11</v>
      </c>
      <c r="Q1" t="s">
        <v>12</v>
      </c>
    </row>
    <row r="2" spans="1:17" x14ac:dyDescent="0.3">
      <c r="A2">
        <v>-0.97499999999999998</v>
      </c>
      <c r="B2">
        <v>1.4858030293295601E-2</v>
      </c>
      <c r="C2">
        <v>8.9768499909791306E-3</v>
      </c>
      <c r="D2">
        <v>5.83606130899473E-3</v>
      </c>
      <c r="E2">
        <v>2.2094556241627999E-3</v>
      </c>
      <c r="F2">
        <v>1.4905310262644301E-3</v>
      </c>
      <c r="G2">
        <v>5.3828910548577697E-4</v>
      </c>
      <c r="I2" t="s">
        <v>6</v>
      </c>
      <c r="J2">
        <f>SUM(D2:D21)</f>
        <v>0.5484693226189522</v>
      </c>
      <c r="K2">
        <f>SUM(C2:C21)</f>
        <v>0.64157608314481329</v>
      </c>
      <c r="L2">
        <f>SUM(B2:B21)</f>
        <v>0.79365453034148126</v>
      </c>
      <c r="N2" t="s">
        <v>16</v>
      </c>
      <c r="O2">
        <v>0.5</v>
      </c>
      <c r="P2">
        <v>0.5</v>
      </c>
      <c r="Q2">
        <v>0.5</v>
      </c>
    </row>
    <row r="3" spans="1:17" x14ac:dyDescent="0.3">
      <c r="A3">
        <v>-0.92499999999999905</v>
      </c>
      <c r="B3">
        <v>1.9282160525554901E-2</v>
      </c>
      <c r="C3">
        <v>1.04709762705273E-2</v>
      </c>
      <c r="D3">
        <v>6.7499632656698996E-3</v>
      </c>
      <c r="E3">
        <v>2.3310549874243098E-3</v>
      </c>
      <c r="F3">
        <v>1.5058824883952501E-3</v>
      </c>
      <c r="G3">
        <v>5.2138990919167098E-4</v>
      </c>
      <c r="I3" t="s">
        <v>8</v>
      </c>
      <c r="J3">
        <f>SUM(D22:D41)</f>
        <v>0.4515306773810463</v>
      </c>
      <c r="K3">
        <f>SUM(C22:C41)</f>
        <v>0.35842391685518504</v>
      </c>
      <c r="L3">
        <f>SUM(B22:B41)</f>
        <v>0.20634546965851716</v>
      </c>
      <c r="N3" t="s">
        <v>14</v>
      </c>
      <c r="O3">
        <f>J3+O2*(1-J3-J5)</f>
        <v>0.5424754462891378</v>
      </c>
      <c r="P3">
        <f>K3+P2*(1-K3-K5)</f>
        <v>0.53562997298461679</v>
      </c>
      <c r="Q3">
        <f>L3+Q2*(1-L3-L5)</f>
        <v>0.51740434328482132</v>
      </c>
    </row>
    <row r="4" spans="1:17" x14ac:dyDescent="0.3">
      <c r="A4">
        <v>-0.875</v>
      </c>
      <c r="B4">
        <v>2.74241864499341E-2</v>
      </c>
      <c r="C4">
        <v>1.43801794402613E-2</v>
      </c>
      <c r="D4">
        <v>9.0074986209571096E-3</v>
      </c>
      <c r="E4">
        <v>2.8789730669426098E-3</v>
      </c>
      <c r="F4">
        <v>1.7366341535491601E-3</v>
      </c>
      <c r="G4">
        <v>6.2228805177118405E-4</v>
      </c>
      <c r="I4" t="s">
        <v>7</v>
      </c>
      <c r="J4">
        <f>SUM(E22:E41)</f>
        <v>0.63342021519722824</v>
      </c>
      <c r="K4">
        <f>SUM(F22:F41)</f>
        <v>0.71283602911404731</v>
      </c>
      <c r="L4">
        <f>SUM(G22:G41)</f>
        <v>0.82846321691112423</v>
      </c>
      <c r="N4" t="s">
        <v>15</v>
      </c>
      <c r="O4">
        <f>(-1*O3*LOG(O3,2))-((1-O3)*LOG((1-O3),2))</f>
        <v>0.99478800497048003</v>
      </c>
      <c r="P4">
        <f>(-1*P3*LOG(P3,2))-((1-P3)*LOG((1-P3),2))</f>
        <v>0.99633390537977573</v>
      </c>
      <c r="Q4">
        <f>(-1*Q3*LOG(Q3,2))-((1-Q3)*LOG((1-Q3),2))</f>
        <v>0.99912580654309813</v>
      </c>
    </row>
    <row r="5" spans="1:17" x14ac:dyDescent="0.3">
      <c r="A5">
        <v>-0.82499999999999996</v>
      </c>
      <c r="B5">
        <v>3.69234676668058E-2</v>
      </c>
      <c r="C5">
        <v>1.9197757214395199E-2</v>
      </c>
      <c r="D5">
        <v>1.20604225531925E-2</v>
      </c>
      <c r="E5">
        <v>3.7075790047404501E-3</v>
      </c>
      <c r="F5">
        <v>2.1659953600205702E-3</v>
      </c>
      <c r="G5">
        <v>7.0777810361195403E-4</v>
      </c>
      <c r="I5" t="s">
        <v>9</v>
      </c>
      <c r="J5">
        <f>SUM(E2:E21)</f>
        <v>0.36657978480277059</v>
      </c>
      <c r="K5">
        <f>SUM(F2:F21)</f>
        <v>0.28716397088595158</v>
      </c>
      <c r="L5">
        <f>SUM(G2:G21)</f>
        <v>0.17153678308887454</v>
      </c>
      <c r="N5" t="s">
        <v>17</v>
      </c>
      <c r="O5">
        <f>(-1*J3*LOG(J3,2))-((1-J3)*LOG((1-J3),2))</f>
        <v>0.99321076793640728</v>
      </c>
      <c r="P5">
        <f>(-1*K3*LOG(K3,2))-((1-K3)*LOG((1-K3),2))</f>
        <v>0.94136713990999554</v>
      </c>
      <c r="Q5">
        <f>(-1*L3*LOG(L3,2))-((1-L3)*LOG((1-L3),2))</f>
        <v>0.73443891824503016</v>
      </c>
    </row>
    <row r="6" spans="1:17" x14ac:dyDescent="0.3">
      <c r="A6">
        <v>-0.77500000000000002</v>
      </c>
      <c r="B6">
        <v>4.6316336856307601E-2</v>
      </c>
      <c r="C6">
        <v>2.4709917486888298E-2</v>
      </c>
      <c r="D6">
        <v>1.5416374598632199E-2</v>
      </c>
      <c r="E6">
        <v>4.8058183132486101E-3</v>
      </c>
      <c r="F6">
        <v>2.66443814608067E-3</v>
      </c>
      <c r="G6">
        <v>1.0124606720909701E-3</v>
      </c>
      <c r="N6" t="s">
        <v>18</v>
      </c>
      <c r="O6">
        <f>(-1*J5*LOG(J5,2))-((1-J5)*LOG((1-J5),2))</f>
        <v>0.94800971415247626</v>
      </c>
      <c r="P6">
        <f>(-1*K5*LOG(K5,2))-((1-K5)*LOG((1-K5),2))</f>
        <v>0.86502952736196193</v>
      </c>
      <c r="Q6">
        <f>(-1*L5*LOG(L5,2))-((1-L5)*LOG((1-L5),2))</f>
        <v>0.66120824279183266</v>
      </c>
    </row>
    <row r="7" spans="1:17" x14ac:dyDescent="0.3">
      <c r="A7">
        <v>-0.72499999999999998</v>
      </c>
      <c r="B7">
        <v>5.35101914613383E-2</v>
      </c>
      <c r="C7">
        <v>2.9643097779899499E-2</v>
      </c>
      <c r="D7">
        <v>1.8926008628352101E-2</v>
      </c>
      <c r="E7">
        <v>6.1972418572884798E-3</v>
      </c>
      <c r="F7">
        <v>3.4617547105002E-3</v>
      </c>
      <c r="G7">
        <v>1.31416102945927E-3</v>
      </c>
      <c r="N7" t="s">
        <v>19</v>
      </c>
      <c r="O7">
        <f>O4-(1-O2)*O5-O2*O6</f>
        <v>2.4177763926038265E-2</v>
      </c>
      <c r="P7">
        <f>P4-(1-P2)*P5-P2*P6</f>
        <v>9.3135571743796941E-2</v>
      </c>
      <c r="Q7">
        <f>Q4-(1-Q2)*Q5-Q2*Q6</f>
        <v>0.30130222602466672</v>
      </c>
    </row>
    <row r="8" spans="1:17" x14ac:dyDescent="0.3">
      <c r="A8">
        <v>-0.67499999999999905</v>
      </c>
      <c r="B8">
        <v>5.7933317806546897E-2</v>
      </c>
      <c r="C8">
        <v>3.3765609363126801E-2</v>
      </c>
      <c r="D8">
        <v>2.24409420368403E-2</v>
      </c>
      <c r="E8">
        <v>7.7405444479316798E-3</v>
      </c>
      <c r="F8">
        <v>4.5181271983773504E-3</v>
      </c>
      <c r="G8">
        <v>1.7356468664416699E-3</v>
      </c>
    </row>
    <row r="9" spans="1:17" x14ac:dyDescent="0.3">
      <c r="A9">
        <v>-0.624999999999999</v>
      </c>
      <c r="B9">
        <v>5.9691124032252803E-2</v>
      </c>
      <c r="C9">
        <v>3.6709362207843599E-2</v>
      </c>
      <c r="D9">
        <v>2.5415820572670101E-2</v>
      </c>
      <c r="E9">
        <v>9.6601802458229601E-3</v>
      </c>
      <c r="F9">
        <v>5.6944329841515304E-3</v>
      </c>
      <c r="G9">
        <v>2.2794033589637799E-3</v>
      </c>
    </row>
    <row r="10" spans="1:17" x14ac:dyDescent="0.3">
      <c r="A10">
        <v>-0.57499999999999996</v>
      </c>
      <c r="B10">
        <v>5.8702295287352602E-2</v>
      </c>
      <c r="C10">
        <v>3.9208117908764897E-2</v>
      </c>
      <c r="D10">
        <v>2.8376728019019901E-2</v>
      </c>
      <c r="E10">
        <v>1.1843681855692701E-2</v>
      </c>
      <c r="F10">
        <v>7.3672626232194702E-3</v>
      </c>
      <c r="G10">
        <v>3.0627308107140901E-3</v>
      </c>
    </row>
    <row r="11" spans="1:17" x14ac:dyDescent="0.3">
      <c r="A11">
        <v>-0.52500000000000002</v>
      </c>
      <c r="B11">
        <v>5.6151920235150497E-2</v>
      </c>
      <c r="C11">
        <v>4.0407675426822297E-2</v>
      </c>
      <c r="D11">
        <v>3.0710863485594101E-2</v>
      </c>
      <c r="E11">
        <v>1.42506763664187E-2</v>
      </c>
      <c r="F11">
        <v>9.1513903627358593E-3</v>
      </c>
      <c r="G11">
        <v>3.9444712291182996E-3</v>
      </c>
    </row>
    <row r="12" spans="1:17" x14ac:dyDescent="0.3">
      <c r="A12">
        <v>-0.47499999999999998</v>
      </c>
      <c r="B12">
        <v>5.2705074046708801E-2</v>
      </c>
      <c r="C12">
        <v>4.0957633853447903E-2</v>
      </c>
      <c r="D12">
        <v>3.2842177273855001E-2</v>
      </c>
      <c r="E12">
        <v>1.6910962831448301E-2</v>
      </c>
      <c r="F12">
        <v>1.15361440581206E-2</v>
      </c>
      <c r="G12">
        <v>5.1522667289617399E-3</v>
      </c>
    </row>
    <row r="13" spans="1:17" x14ac:dyDescent="0.3">
      <c r="A13">
        <v>-0.42499999999999899</v>
      </c>
      <c r="B13">
        <v>4.8811498120723398E-2</v>
      </c>
      <c r="C13">
        <v>4.1253653692581403E-2</v>
      </c>
      <c r="D13">
        <v>3.4522080343399701E-2</v>
      </c>
      <c r="E13">
        <v>2.0082639504028301E-2</v>
      </c>
      <c r="F13">
        <v>1.4001492929692201E-2</v>
      </c>
      <c r="G13">
        <v>6.6493367065454502E-3</v>
      </c>
    </row>
    <row r="14" spans="1:17" x14ac:dyDescent="0.3">
      <c r="A14">
        <v>-0.374999999999999</v>
      </c>
      <c r="B14">
        <v>4.4438064184522397E-2</v>
      </c>
      <c r="C14">
        <v>4.0865732269403203E-2</v>
      </c>
      <c r="D14">
        <v>3.6271838860344498E-2</v>
      </c>
      <c r="E14">
        <v>2.33307363298043E-2</v>
      </c>
      <c r="F14">
        <v>1.6764276380048401E-2</v>
      </c>
      <c r="G14">
        <v>8.3864746785424892E-3</v>
      </c>
    </row>
    <row r="15" spans="1:17" x14ac:dyDescent="0.3">
      <c r="A15">
        <v>-0.32499999999999901</v>
      </c>
      <c r="B15">
        <v>4.0511861929390602E-2</v>
      </c>
      <c r="C15">
        <v>4.0285784904826198E-2</v>
      </c>
      <c r="D15">
        <v>3.7535018054019903E-2</v>
      </c>
      <c r="E15">
        <v>2.6524041347628501E-2</v>
      </c>
      <c r="F15">
        <v>1.9722311239381101E-2</v>
      </c>
      <c r="G15">
        <v>1.07826813060096E-2</v>
      </c>
    </row>
    <row r="16" spans="1:17" x14ac:dyDescent="0.3">
      <c r="A16">
        <v>-0.27499999999999902</v>
      </c>
      <c r="B16">
        <v>3.7098144013620701E-2</v>
      </c>
      <c r="C16">
        <v>3.9598941487228798E-2</v>
      </c>
      <c r="D16">
        <v>3.8481679806717198E-2</v>
      </c>
      <c r="E16">
        <v>2.9428007169075499E-2</v>
      </c>
      <c r="F16">
        <v>2.30535785217693E-2</v>
      </c>
      <c r="G16">
        <v>1.3115267429781301E-2</v>
      </c>
    </row>
    <row r="17" spans="1:7" x14ac:dyDescent="0.3">
      <c r="A17">
        <v>-0.22500000000000001</v>
      </c>
      <c r="B17">
        <v>3.32989334703973E-2</v>
      </c>
      <c r="C17">
        <v>3.8805202016610897E-2</v>
      </c>
      <c r="D17">
        <v>3.9199022987259802E-2</v>
      </c>
      <c r="E17">
        <v>3.2397338656149202E-2</v>
      </c>
      <c r="F17">
        <v>2.6381007938624801E-2</v>
      </c>
      <c r="G17">
        <v>1.5866854214609798E-2</v>
      </c>
    </row>
    <row r="18" spans="1:7" x14ac:dyDescent="0.3">
      <c r="A18">
        <v>-0.17499999999999899</v>
      </c>
      <c r="B18">
        <v>3.0139198978444501E-2</v>
      </c>
      <c r="C18">
        <v>3.7393787162703002E-2</v>
      </c>
      <c r="D18">
        <v>3.9157109718819701E-2</v>
      </c>
      <c r="E18">
        <v>3.51479835413099E-2</v>
      </c>
      <c r="F18">
        <v>2.98355666512512E-2</v>
      </c>
      <c r="G18">
        <v>1.911945246604E-2</v>
      </c>
    </row>
    <row r="19" spans="1:7" x14ac:dyDescent="0.3">
      <c r="A19">
        <v>-0.124999999999999</v>
      </c>
      <c r="B19">
        <v>2.7483917729448401E-2</v>
      </c>
      <c r="C19">
        <v>3.6422532527114498E-2</v>
      </c>
      <c r="D19">
        <v>3.91296493015659E-2</v>
      </c>
      <c r="E19">
        <v>3.7370896802513501E-2</v>
      </c>
      <c r="F19">
        <v>3.2910176676139699E-2</v>
      </c>
      <c r="G19">
        <v>2.21265153360206E-2</v>
      </c>
    </row>
    <row r="20" spans="1:7" x14ac:dyDescent="0.3">
      <c r="A20">
        <v>-7.49999999999999E-2</v>
      </c>
      <c r="B20">
        <v>2.5320541135275699E-2</v>
      </c>
      <c r="C20">
        <v>3.4965650573731903E-2</v>
      </c>
      <c r="D20">
        <v>3.8499986751553E-2</v>
      </c>
      <c r="E20">
        <v>3.90449307244101E-2</v>
      </c>
      <c r="F20">
        <v>3.5385599944734697E-2</v>
      </c>
      <c r="G20">
        <v>2.5780220981843301E-2</v>
      </c>
    </row>
    <row r="21" spans="1:7" x14ac:dyDescent="0.3">
      <c r="A21">
        <v>-2.4999999999999901E-2</v>
      </c>
      <c r="B21">
        <v>2.30542661184104E-2</v>
      </c>
      <c r="C21">
        <v>3.3557621567657202E-2</v>
      </c>
      <c r="D21">
        <v>3.7890076431494599E-2</v>
      </c>
      <c r="E21">
        <v>4.0717042126729601E-2</v>
      </c>
      <c r="F21">
        <v>3.7817367492895097E-2</v>
      </c>
      <c r="G21">
        <v>2.8819094103671599E-2</v>
      </c>
    </row>
    <row r="22" spans="1:7" x14ac:dyDescent="0.3">
      <c r="A22">
        <v>2.5000000000000001E-2</v>
      </c>
      <c r="B22">
        <v>2.12558024671528E-2</v>
      </c>
      <c r="C22">
        <v>3.2107511309940898E-2</v>
      </c>
      <c r="D22">
        <v>3.7079753241654002E-2</v>
      </c>
      <c r="E22">
        <v>4.1550934993364902E-2</v>
      </c>
      <c r="F22">
        <v>3.9780435712873902E-2</v>
      </c>
      <c r="G22">
        <v>3.2401723718021899E-2</v>
      </c>
    </row>
    <row r="23" spans="1:7" x14ac:dyDescent="0.3">
      <c r="A23">
        <v>7.4999999999999997E-2</v>
      </c>
      <c r="B23">
        <v>1.96877308940216E-2</v>
      </c>
      <c r="C23">
        <v>3.0717378928127599E-2</v>
      </c>
      <c r="D23">
        <v>3.6298817515892097E-2</v>
      </c>
      <c r="E23">
        <v>4.2319462194373401E-2</v>
      </c>
      <c r="F23">
        <v>4.1503637337058599E-2</v>
      </c>
      <c r="G23">
        <v>3.5425685784296598E-2</v>
      </c>
    </row>
    <row r="24" spans="1:7" x14ac:dyDescent="0.3">
      <c r="A24">
        <v>0.125</v>
      </c>
      <c r="B24">
        <v>1.8468510070994801E-2</v>
      </c>
      <c r="C24">
        <v>2.9384322266931499E-2</v>
      </c>
      <c r="D24">
        <v>3.4931577793675901E-2</v>
      </c>
      <c r="E24">
        <v>4.2556893362164699E-2</v>
      </c>
      <c r="F24">
        <v>4.2701531116454201E-2</v>
      </c>
      <c r="G24">
        <v>3.8722023132017502E-2</v>
      </c>
    </row>
    <row r="25" spans="1:7" x14ac:dyDescent="0.3">
      <c r="A25">
        <v>0.17499999999999999</v>
      </c>
      <c r="B25">
        <v>1.7212145427093699E-2</v>
      </c>
      <c r="C25">
        <v>2.8266025096871501E-2</v>
      </c>
      <c r="D25">
        <v>3.4104874705824198E-2</v>
      </c>
      <c r="E25">
        <v>4.3034158847218798E-2</v>
      </c>
      <c r="F25">
        <v>4.4628139613872297E-2</v>
      </c>
      <c r="G25">
        <v>4.1400048709448099E-2</v>
      </c>
    </row>
    <row r="26" spans="1:7" x14ac:dyDescent="0.3">
      <c r="A26">
        <v>0.22500000000000001</v>
      </c>
      <c r="B26">
        <v>1.6127947412380699E-2</v>
      </c>
      <c r="C26">
        <v>2.7065983886266399E-2</v>
      </c>
      <c r="D26">
        <v>3.3369706342151903E-2</v>
      </c>
      <c r="E26">
        <v>4.3234581513147803E-2</v>
      </c>
      <c r="F26">
        <v>4.5655728110254201E-2</v>
      </c>
      <c r="G26">
        <v>4.4818159677523499E-2</v>
      </c>
    </row>
    <row r="27" spans="1:7" x14ac:dyDescent="0.3">
      <c r="A27">
        <v>0.27500000000000002</v>
      </c>
      <c r="B27">
        <v>1.5185297471810799E-2</v>
      </c>
      <c r="C27">
        <v>2.6171152673199399E-2</v>
      </c>
      <c r="D27">
        <v>3.23555979505857E-2</v>
      </c>
      <c r="E27">
        <v>4.3246116630611398E-2</v>
      </c>
      <c r="F27">
        <v>4.66756408755706E-2</v>
      </c>
      <c r="G27">
        <v>4.7557817617909101E-2</v>
      </c>
    </row>
    <row r="28" spans="1:7" x14ac:dyDescent="0.3">
      <c r="A28">
        <v>0.32500000000000001</v>
      </c>
      <c r="B28">
        <v>1.4514700921969799E-2</v>
      </c>
      <c r="C28">
        <v>2.52163435842294E-2</v>
      </c>
      <c r="D28">
        <v>3.1440250708791903E-2</v>
      </c>
      <c r="E28">
        <v>4.3439810478020001E-2</v>
      </c>
      <c r="F28">
        <v>4.7825081602615803E-2</v>
      </c>
      <c r="G28">
        <v>5.0489828174936503E-2</v>
      </c>
    </row>
    <row r="29" spans="1:7" x14ac:dyDescent="0.3">
      <c r="A29">
        <v>0.375</v>
      </c>
      <c r="B29">
        <v>1.35705451508239E-2</v>
      </c>
      <c r="C29">
        <v>2.3792352724083799E-2</v>
      </c>
      <c r="D29">
        <v>3.02079042643137E-2</v>
      </c>
      <c r="E29">
        <v>4.3300427808668898E-2</v>
      </c>
      <c r="F29">
        <v>4.8620958967460597E-2</v>
      </c>
      <c r="G29">
        <v>5.3535659789356399E-2</v>
      </c>
    </row>
    <row r="30" spans="1:7" x14ac:dyDescent="0.3">
      <c r="A30">
        <v>0.42499999999999999</v>
      </c>
      <c r="B30">
        <v>1.2582218349449E-2</v>
      </c>
      <c r="C30">
        <v>2.2538137948147099E-2</v>
      </c>
      <c r="D30">
        <v>2.9027588084105899E-2</v>
      </c>
      <c r="E30">
        <v>4.2553048323010198E-2</v>
      </c>
      <c r="F30">
        <v>4.8869940493894898E-2</v>
      </c>
      <c r="G30">
        <v>5.6243507477894299E-2</v>
      </c>
    </row>
    <row r="31" spans="1:7" x14ac:dyDescent="0.3">
      <c r="A31">
        <v>0.47499999999999998</v>
      </c>
      <c r="B31">
        <v>1.1473927045520201E-2</v>
      </c>
      <c r="C31">
        <v>2.0796844776773401E-2</v>
      </c>
      <c r="D31">
        <v>2.7308180554652201E-2</v>
      </c>
      <c r="E31">
        <v>4.1849406157733998E-2</v>
      </c>
      <c r="F31">
        <v>4.8639188828740999E-2</v>
      </c>
      <c r="G31">
        <v>5.86233119442525E-2</v>
      </c>
    </row>
    <row r="32" spans="1:7" x14ac:dyDescent="0.3">
      <c r="A32">
        <v>0.52500000000000002</v>
      </c>
      <c r="B32">
        <v>1.0203006039384401E-2</v>
      </c>
      <c r="C32">
        <v>1.88001619402649E-2</v>
      </c>
      <c r="D32">
        <v>2.51031572253416E-2</v>
      </c>
      <c r="E32">
        <v>3.9493358415805403E-2</v>
      </c>
      <c r="F32">
        <v>4.6943331996476802E-2</v>
      </c>
      <c r="G32">
        <v>5.9061696977528999E-2</v>
      </c>
    </row>
    <row r="33" spans="1:7" x14ac:dyDescent="0.3">
      <c r="A33">
        <v>0.57499999999999996</v>
      </c>
      <c r="B33">
        <v>8.6133508946641402E-3</v>
      </c>
      <c r="C33">
        <v>1.6858620054183201E-2</v>
      </c>
      <c r="D33">
        <v>2.25204327183645E-2</v>
      </c>
      <c r="E33">
        <v>3.6329852451428703E-2</v>
      </c>
      <c r="F33">
        <v>4.4240515195069101E-2</v>
      </c>
      <c r="G33">
        <v>5.8283339877629903E-2</v>
      </c>
    </row>
    <row r="34" spans="1:7" x14ac:dyDescent="0.3">
      <c r="A34">
        <v>0.625</v>
      </c>
      <c r="B34">
        <v>7.2309984259051E-3</v>
      </c>
      <c r="C34">
        <v>1.42108870485999E-2</v>
      </c>
      <c r="D34">
        <v>1.9274804103646199E-2</v>
      </c>
      <c r="E34">
        <v>3.2443959755897603E-2</v>
      </c>
      <c r="F34">
        <v>4.0047647100588502E-2</v>
      </c>
      <c r="G34">
        <v>5.5038694189161602E-2</v>
      </c>
    </row>
    <row r="35" spans="1:7" x14ac:dyDescent="0.3">
      <c r="A35">
        <v>0.67500000000000004</v>
      </c>
      <c r="B35">
        <v>5.7191445276109096E-3</v>
      </c>
      <c r="C35">
        <v>1.17595332173438E-2</v>
      </c>
      <c r="D35">
        <v>1.6105293838508599E-2</v>
      </c>
      <c r="E35">
        <v>2.7277188392019001E-2</v>
      </c>
      <c r="F35">
        <v>3.4468350082418102E-2</v>
      </c>
      <c r="G35">
        <v>5.0056413493511198E-2</v>
      </c>
    </row>
    <row r="36" spans="1:7" x14ac:dyDescent="0.3">
      <c r="A36">
        <v>0.72499999999999998</v>
      </c>
      <c r="B36">
        <v>4.4391885380192101E-3</v>
      </c>
      <c r="C36">
        <v>9.1925768672104294E-3</v>
      </c>
      <c r="D36">
        <v>1.2812934338288199E-2</v>
      </c>
      <c r="E36">
        <v>2.2013329789488899E-2</v>
      </c>
      <c r="F36">
        <v>2.82270212598561E-2</v>
      </c>
      <c r="G36">
        <v>4.3083009846266999E-2</v>
      </c>
    </row>
    <row r="37" spans="1:7" x14ac:dyDescent="0.3">
      <c r="A37">
        <v>0.77500000000000002</v>
      </c>
      <c r="B37">
        <v>3.33892833049567E-3</v>
      </c>
      <c r="C37">
        <v>6.98693885013705E-3</v>
      </c>
      <c r="D37">
        <v>9.7262870866183394E-3</v>
      </c>
      <c r="E37">
        <v>1.6728804101503202E-2</v>
      </c>
      <c r="F37">
        <v>2.1979455905803399E-2</v>
      </c>
      <c r="G37">
        <v>3.4500703304786898E-2</v>
      </c>
    </row>
    <row r="38" spans="1:7" x14ac:dyDescent="0.3">
      <c r="A38">
        <v>0.82499999999999996</v>
      </c>
      <c r="B38">
        <v>2.46253493526936E-3</v>
      </c>
      <c r="C38">
        <v>5.3027213993805796E-3</v>
      </c>
      <c r="D38">
        <v>7.2760470488482196E-3</v>
      </c>
      <c r="E38">
        <v>1.2267597422478E-2</v>
      </c>
      <c r="F38">
        <v>1.6065305119904501E-2</v>
      </c>
      <c r="G38">
        <v>2.65386966743375E-2</v>
      </c>
    </row>
    <row r="39" spans="1:7" x14ac:dyDescent="0.3">
      <c r="A39">
        <v>0.875</v>
      </c>
      <c r="B39">
        <v>1.84112885091072E-3</v>
      </c>
      <c r="C39">
        <v>3.9764364338509299E-3</v>
      </c>
      <c r="D39">
        <v>5.4429437567296004E-3</v>
      </c>
      <c r="E39">
        <v>8.6739277026900308E-3</v>
      </c>
      <c r="F39">
        <v>1.13327371848872E-2</v>
      </c>
      <c r="G39">
        <v>1.9248681614171401E-2</v>
      </c>
    </row>
    <row r="40" spans="1:7" x14ac:dyDescent="0.3">
      <c r="A40">
        <v>0.92500000000000004</v>
      </c>
      <c r="B40">
        <v>1.38235246875903E-3</v>
      </c>
      <c r="C40">
        <v>2.96164946897813E-3</v>
      </c>
      <c r="D40">
        <v>4.0164473446499104E-3</v>
      </c>
      <c r="E40">
        <v>6.2424210673540301E-3</v>
      </c>
      <c r="F40">
        <v>8.2029578429660497E-3</v>
      </c>
      <c r="G40">
        <v>1.3587947890831099E-2</v>
      </c>
    </row>
    <row r="41" spans="1:7" x14ac:dyDescent="0.3">
      <c r="A41">
        <v>0.97499999999999998</v>
      </c>
      <c r="B41">
        <v>1.0360114362812801E-3</v>
      </c>
      <c r="C41">
        <v>2.3183383806650599E-3</v>
      </c>
      <c r="D41">
        <v>3.1280787584037299E-3</v>
      </c>
      <c r="E41">
        <v>4.86493579024926E-3</v>
      </c>
      <c r="F41">
        <v>6.4284247672814201E-3</v>
      </c>
      <c r="G41">
        <v>9.8462670172421492E-3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ori_dist_bac_err_mut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O</dc:creator>
  <cp:lastModifiedBy>MI O</cp:lastModifiedBy>
  <dcterms:created xsi:type="dcterms:W3CDTF">2026-08-27T16:42:02Z</dcterms:created>
  <dcterms:modified xsi:type="dcterms:W3CDTF">2026-10-06T13:22:05Z</dcterms:modified>
</cp:coreProperties>
</file>